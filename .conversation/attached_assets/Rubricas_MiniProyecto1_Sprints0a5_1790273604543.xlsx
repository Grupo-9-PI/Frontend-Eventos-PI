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0" sheetId="1" r:id="rId4"/>
    <sheet state="visible" name="Sprint1" sheetId="2" r:id="rId5"/>
    <sheet state="visible" name="Sprint2" sheetId="3" r:id="rId6"/>
    <sheet state="visible" name="Sprint3" sheetId="4" r:id="rId7"/>
    <sheet state="visible" name="Sprint4" sheetId="5" r:id="rId8"/>
    <sheet state="visible" name="Sprint5" sheetId="6" r:id="rId9"/>
  </sheets>
  <definedNames/>
  <calcPr/>
  <extLst>
    <ext uri="GoogleSheetsCustomDataVersion2">
      <go:sheetsCustomData xmlns:go="http://customooxmlschemas.google.com/" r:id="rId10" roundtripDataChecksum="gH610Ou9O4v34C4XiIFsf2il4UA/78ZN6MT7qgx0VPs="/>
    </ext>
  </extLst>
</workbook>
</file>

<file path=xl/sharedStrings.xml><?xml version="1.0" encoding="utf-8"?>
<sst xmlns="http://schemas.openxmlformats.org/spreadsheetml/2006/main" count="306" uniqueCount="225">
  <si>
    <t>Sprint 1 — Rúbrica de equipo (TG1) — T1 Crear Evento y Plan Logístico Inicial</t>
  </si>
  <si>
    <t>Sprint 3 — Rúbrica de equipo (TG3) — T3 Reprogramar y Conflicto por Sobrecarga de Horas</t>
  </si>
  <si>
    <t>Sprint 2 — Rúbrica de equipo (TG2) — T2 Vista 'Hoy' (Gestiones Urgentes) + Login</t>
  </si>
  <si>
    <t>Sprint 0 — Rúbrica de equipo (TG0) + Ajuste individual (A0) — Organizador de Eventos Independientes</t>
  </si>
  <si>
    <t>ID</t>
  </si>
  <si>
    <t>Criterio (0–2)</t>
  </si>
  <si>
    <t>Puntaje</t>
  </si>
  <si>
    <t>0 (No)</t>
  </si>
  <si>
    <t>1 (Parcial)</t>
  </si>
  <si>
    <t>2 (Completo)</t>
  </si>
  <si>
    <t>Evidencia mínima (links/capturas)</t>
  </si>
  <si>
    <t>Observaciones</t>
  </si>
  <si>
    <t>C1</t>
  </si>
  <si>
    <t>T1 end-to-end: crear evento + subtareas logísticas persistidas (React↔API↔BD)</t>
  </si>
  <si>
    <t>Login local: autenticación + rutas protegidas + aislamiento de eventos por organizador</t>
  </si>
  <si>
    <t>Reprogramar gestiones: cambio de plazo/fecha persiste y se refleja en /hoy</t>
  </si>
  <si>
    <t>No se puede modificar fecha o el cambio no persiste en BD</t>
  </si>
  <si>
    <t>Equipo operativo (roles iniciales + acuerdos de coordinación)</t>
  </si>
  <si>
    <t>No funciona end-to-end</t>
  </si>
  <si>
    <t>Parcial o inconsistente (no se refleja dinámicamente en los grupos de la vista /hoy)</t>
  </si>
  <si>
    <t>No hay login o no protege rutas privadas</t>
  </si>
  <si>
    <t>Completo y consistente: el organizador reprograma la fecha objetivo de una gestión logística, el cambio persiste en BD y se reubica de inmediato en el grupo correspondiente de /hoy</t>
  </si>
  <si>
    <t>Parcial (login funcional pero sin aislamiento estricto de eventos entre organizadores o con fallas en sesión)</t>
  </si>
  <si>
    <t>Funciona parcialmente (solo formulario React o endpoint DRF sin persistencia en BD o sin asociar subtareas al evento)</t>
  </si>
  <si>
    <t>Capturas antes y después de reprogramar + endpoint PATCH/PUT documentado</t>
  </si>
  <si>
    <t>Completo y verificado: rutas protegidas (/hoy, /crear, /evento/:id, /progreso); el organizador A no tiene acceso a los eventos ni gestiones del organizador B</t>
  </si>
  <si>
    <t>Flujo T1 completo y persistido: formulario crea el evento (nombre, tipo, fecha) y agrega subtareas logísticas (reservar salón, enviar invitaciones, confirmar catering) con plazos y horas estimadas asociadas al evento en BD</t>
  </si>
  <si>
    <t>No hay acuerdos ni roles definidos</t>
  </si>
  <si>
    <t>Capturas de /login, redirección en rutas protegidas y prueba de aislamiento entre cuentas</t>
  </si>
  <si>
    <t>Captura/video demostrativo + PR de integración + endpoints POST /api/eventos/ y POST /api/eventos/:id/subtareas/</t>
  </si>
  <si>
    <t>Roles o acuerdos incompletos, no operativos o sin canales establecidos</t>
  </si>
  <si>
    <t>Roles definidos (Coordinación, UX, FE, BE, QA) + acuerdos claros (canal, horarios de trabajo, toma de decisiones, manejo de bloqueos)</t>
  </si>
  <si>
    <t>Contrato de equipo + roles asignados + canal + reglas de coordinación</t>
  </si>
  <si>
    <t>C2</t>
  </si>
  <si>
    <t>Límite diario configurable de horas de gestión: set/get + default 6h por organizador</t>
  </si>
  <si>
    <t>Validaciones FE/BE en evento y subtareas + estados UX mínimos (éxito/error/vacío)</t>
  </si>
  <si>
    <t>Vista “Hoy”: destaca gestiones urgentes del día + agrupación y orden estricto</t>
  </si>
  <si>
    <t>No implementado o límite estático en código</t>
  </si>
  <si>
    <t>Parcial (no persiste por organizador o no valida rango permitido 1–16h)</t>
  </si>
  <si>
    <t>Sin validaciones ni feedback en creación de evento y gestiones logísticas</t>
  </si>
  <si>
    <t>Completo: valor por defecto de 6h/día por organizador, interfaz para actualizar límite con validación de rango y persistencia independiente en BD</t>
  </si>
  <si>
    <t>Comprensión de usuario (2 perfiles de organizadores de eventos independientes)</t>
  </si>
  <si>
    <t>Captura de la vista de configuración + endpoints GET/PUT documentados</t>
  </si>
  <si>
    <t>No existe /hoy o no agrupa gestiones</t>
  </si>
  <si>
    <t>Validaciones incompletas o mensajes confusos/técnicos sin orientación al organizador</t>
  </si>
  <si>
    <t>Agrupa pero no destaca lo urgente o falla la regla de orden cronológico / desempate por esfuerzo</t>
  </si>
  <si>
    <t>C3</t>
  </si>
  <si>
    <t>Validaciones consistentes FE/BE (campos requeridos de evento y horas &gt; 0 en gestiones) + microcopy comprensible + estados de éxito, error y carga</t>
  </si>
  <si>
    <t>Conflicto estándar: detecta sobrecarga diaria al reprogramar (retraso proveedores) mostrando cifras</t>
  </si>
  <si>
    <t>No hay perfiles de usuario</t>
  </si>
  <si>
    <t>Completo: destaca las gestiones urgentes del día que requieren atención inmediata; agrupa en Vencidas, Para hoy y Próximas; ordena por fecha con desempate por menor esfuerzo estimado</t>
  </si>
  <si>
    <t>Capturas de éxito y de errores controlados con mensajes claros en formulario</t>
  </si>
  <si>
    <t>Capturas de pantalla de /hoy con ejemplos claros en cada grupo de prioridad</t>
  </si>
  <si>
    <t>Perfiles vagos, genéricos o desconectados del problema de organizar eventos independientes</t>
  </si>
  <si>
    <t>No detecta sobrecarga de horas de gestión al reprogramar</t>
  </si>
  <si>
    <t>2 perfiles claros de organizadores de eventos independientes (contexto laboral, tipos de eventos, frustraciones ante retrasos/sobrecarga, necesidades y objetivos)</t>
  </si>
  <si>
    <t>API documentada (endpoints Sprint 1: eventos y subtareas logísticas)</t>
  </si>
  <si>
    <t>No documentada</t>
  </si>
  <si>
    <t>Link a perfiles de organizador de eventos en Documento Único</t>
  </si>
  <si>
    <t>Parcial o sin ejemplos de carga de eventos y subtareas logísticas</t>
  </si>
  <si>
    <t>Regla de priorización visible en UI (2–4 líneas) y coherente con las gestiones mostradas</t>
  </si>
  <si>
    <t>Contrato API con swagger documentada: método, ruta, payload JSON de eventos y subtareas, respuestas (201, 400) y ejemplos funcionales request/response</t>
  </si>
  <si>
    <t>Tabla de endpoints documentada con ejemplos en Documento Único</t>
  </si>
  <si>
    <t>Regla no visible en la interfaz</t>
  </si>
  <si>
    <t>C4</t>
  </si>
  <si>
    <t>Visible pero ambigua o no coincide con el orden real de las gestiones en pantalla</t>
  </si>
  <si>
    <t>Detecta sobrecarga pero sin claridad, sin mostrar cifras o con mensaje críptico</t>
  </si>
  <si>
    <t>Calidad UI mínima (formulario de eventos y lista de subtareas logísticas)</t>
  </si>
  <si>
    <t>Tareas núcleo T1–T4 de eventos + criterio de éxito verificable</t>
  </si>
  <si>
    <t>Visible, clara (2–4 líneas sin jerga técnica en tooltip o banner) y 100% coherente con el orden mostrado en /hoy</t>
  </si>
  <si>
    <t>Detecta y comunica con precisión: al retrasar búsqueda de proveedores u otra gestión, si las horas acumuladas superan el límite definido, advierte conflicto mostrando cifras explícitas (ej. 'Quedarías con 7h planificadas (límite 6h)')</t>
  </si>
  <si>
    <t>Captura del componente de la regla visible en la interfaz + evidencia</t>
  </si>
  <si>
    <t>Captura del mensaje/modal de conflicto con cifras claras de horas acumuladas vs límite</t>
  </si>
  <si>
    <t>UI impide completar la creación de eventos o subtareas logísticas</t>
  </si>
  <si>
    <t>No definidas</t>
  </si>
  <si>
    <t>Permite crear con fricción notable o desorden visual en el desglose de gestiones</t>
  </si>
  <si>
    <t>Ambiguas o sin criterios medibles en el dominio de eventos</t>
  </si>
  <si>
    <t>T1 a T4 formuladas con criterio de éxito verificable (T1 crear evento/subtareas logísticas, T2 hoy urgentes, T3 reprogramar proveedores/sobrecarga, T4 tareas ejecutadas y barra de progreso)</t>
  </si>
  <si>
    <t>UI clara y consistente: formulario estructurado, plazos y horas estimadas visibles por gestión logística, navegación fluida</t>
  </si>
  <si>
    <t>Link a definición y trazabilidad de T1–T4 en Documento Único</t>
  </si>
  <si>
    <t>Estados UX en /hoy (vacío con acción, error con reintento, carga)</t>
  </si>
  <si>
    <t>Capturas de pantallas del formulario de evento y detalle del plan logístico</t>
  </si>
  <si>
    <t>Resolución de conflicto: ≥1 estrategia funcional (mover a otro día o reducir horas)</t>
  </si>
  <si>
    <t>Sin manejo de estados UX</t>
  </si>
  <si>
    <t>C5</t>
  </si>
  <si>
    <t>Estados parciales o estado vacío sin acción guiada para el organizador</t>
  </si>
  <si>
    <t>Backlog v1 refinado (mín. US-01..US-04 de eventos)</t>
  </si>
  <si>
    <t>Evidencia UX/HCI (≥2 decisiones justificadas + 1 bitácora de iteración)</t>
  </si>
  <si>
    <t>No ofrece opciones de resolución o no guardan el cambio</t>
  </si>
  <si>
    <t>Estados mínimos completos: vacío con acción sugerida ('Crear evento'), estado de carga y mensaje de error amigable con botón de reintentar</t>
  </si>
  <si>
    <t>Incompleta o la resolución no recalcula/resuelve el estado de sobrecarga en el plan</t>
  </si>
  <si>
    <t>Capturas de pantalla de estados vacío, carga y error en /hoy</t>
  </si>
  <si>
    <t>No hay backlog o solo está el backlog base sin refinar</t>
  </si>
  <si>
    <t>No hay evidencia de decisiones UX ni bitácora</t>
  </si>
  <si>
    <t>Funcional e interactiva: el organizador puede mover la gestión a otra fecha viable sugerida o reducir horas estimadas, resolviendo el conflicto y dejando el plan logístico viable</t>
  </si>
  <si>
    <t>Parcial (sin formato Gherkin o sin estados de gestión logística definidos)</t>
  </si>
  <si>
    <t>Parcial o decisiones sin justificar en el contexto del organizador de eventos</t>
  </si>
  <si>
    <t>≥2 decisiones documentadas (criterio UX + evidencia en formulario logístico) + 1 bitácora estructurada (hallazgo→cambio aplicado→verificación)</t>
  </si>
  <si>
    <t>Links a decisiones justificadas y bitácora en Documento Único</t>
  </si>
  <si>
    <t>API /hoy documentada (request/response) con soporte a filtros (por evento/estado)</t>
  </si>
  <si>
    <t>Capturas del flujo de resolución (antes, selección de alternativa y plan resuelto) + PR</t>
  </si>
  <si>
    <t>C6</t>
  </si>
  <si>
    <t>No documentada o inestable</t>
  </si>
  <si>
    <t>Funciona sin ejemplos claros de respuesta agrupada o parámetros de filtro</t>
  </si>
  <si>
    <t>Documentada con ejemplos completos de request/response, estructura de datos agrupada y filtro por evento o estado de gestión</t>
  </si>
  <si>
    <t>Calidad IxD: diálogo de conflicto con opciones comprensibles + feedback sin jerga técnica</t>
  </si>
  <si>
    <t>Gestión del trabajo (tablero Kanban de Jira/Taiga actualizado + tareas con dueño + DoD)</t>
  </si>
  <si>
    <t>Tabla de endpoints documentada con payload de ejemplo en Documento Único</t>
  </si>
  <si>
    <t>Sprint-ready: US-01 a US-04 en formato Gherkin (Dado/Cuando/Entonces) + estados de gestión + evidencia esperada + responsable asignado</t>
  </si>
  <si>
    <t>Flujo confuso o bloqueante sin alternativas claras</t>
  </si>
  <si>
    <t>No refleja trabajo en equipo ni trazabilidad</t>
  </si>
  <si>
    <t>Evidencia UX/HCI (≥2 decisiones sobre jerarquía de urgencias + 1 bitácora) + tablero</t>
  </si>
  <si>
    <t>Mejorable (mensajes técnicos o botones poco intuitivos)</t>
  </si>
  <si>
    <t>Link a backlog refinado en tablero o Documento Único</t>
  </si>
  <si>
    <t>Parcial o tareas sin evidencia de cierre según DoD</t>
  </si>
  <si>
    <t>Flujo claro: alternativas de resolución transparentes, confirmación visual inmediata y microtextos orientados a la gestión de eventos</t>
  </si>
  <si>
    <t>Falta evidencia UX o tablero desactualizado</t>
  </si>
  <si>
    <t>Capturas de las opciones de resolución y microcopy</t>
  </si>
  <si>
    <t>Operable: tareas del Sprint 1 con dueño, estimación, DoD cumplido y evidencia verificable enlazada</t>
  </si>
  <si>
    <t>Parcial o sin justificación clara de jerarquía visual</t>
  </si>
  <si>
    <t>Link al tablero Kanban (To Do/Doing/Done) + capturas de avance del sprint</t>
  </si>
  <si>
    <t>Completa y verificable: decisiones de priorización visual de urgencias justificadas + bitácora de iteración + tablero al día</t>
  </si>
  <si>
    <t>Links a decisiones de diseño, bitácora y tablero en Documento Único</t>
  </si>
  <si>
    <t>Evidencia UX/HCI (prevención de errores) + endpoints documentados + bitácora</t>
  </si>
  <si>
    <t>Arquitectura de información mínima (rutas SPA de eventos)</t>
  </si>
  <si>
    <t>Falta evidencia UX o documentación técnica</t>
  </si>
  <si>
    <t>Parcial o sin justificación de decisiones</t>
  </si>
  <si>
    <t>Completa y verificable: decisiones de manejo de sobrecarga justificadas + bitácora de iteración + endpoints documentados</t>
  </si>
  <si>
    <t>No hay rutas definidas</t>
  </si>
  <si>
    <t>Total TG1 (puntos)</t>
  </si>
  <si>
    <t>Links a decisiones, bitácora y endpoints en Documento Único</t>
  </si>
  <si>
    <t>Total TG2 (puntos)</t>
  </si>
  <si>
    <t>Incompletas o no conectan con las tareas T1–T4 del organizador</t>
  </si>
  <si>
    <t>Rutas coherentes (/hoy, /crear, /evento/:id, /progreso, /login). Tabla de Arquitectura de Información llena y validada</t>
  </si>
  <si>
    <t>Link a mapa de rutas / AI en Documento Único</t>
  </si>
  <si>
    <t>Total TG3 (puntos)</t>
  </si>
  <si>
    <t>Prototipo “Hoy” v1 (draft para organizador de eventos)</t>
  </si>
  <si>
    <t>No hay prototipo</t>
  </si>
  <si>
    <t>Incompleto, sin jerarquía visual o sin destacar gestiones urgentes</t>
  </si>
  <si>
    <t>Prototipo claro: vista 'Hoy' con gestiones urgentes del día destacadas, vencidas, próximas y acción principal clara ('Crear evento')</t>
  </si>
  <si>
    <t>Link a prototipo navegable (Figma o interactivo)</t>
  </si>
  <si>
    <t>C7</t>
  </si>
  <si>
    <t>Base técnica operativa (repo + tablero + FE + API + BD)</t>
  </si>
  <si>
    <t>No existe o no corre</t>
  </si>
  <si>
    <t>Parcial (solo FE o solo API funcional)</t>
  </si>
  <si>
    <t>Repo + tablero configurados; React corre; DRF corre (/api/health/); evidencia de PR inicial verificada</t>
  </si>
  <si>
    <t>Repo + tablero + capturas de FE y API corriendo + enlace a PR inicial</t>
  </si>
  <si>
    <t>Total TG0 (puntos)</t>
  </si>
  <si>
    <t>Gating:</t>
  </si>
  <si>
    <t>G2: Login con aislamiento por organizador + Vista /hoy funcional con regla base visible y gestiones urgentes destacadas</t>
  </si>
  <si>
    <t>G1: T1 end-to-end persistido (crear evento + subtareas logísticas vinculadas)</t>
  </si>
  <si>
    <t>G3: Límite diario configurable + Conflicto por sobrecarga detectado mostrando cifras (total de horas vs límite)</t>
  </si>
  <si>
    <t>Nota Sprint 2 (0–5)</t>
  </si>
  <si>
    <t>Nota Sprint 3 (0–5)</t>
  </si>
  <si>
    <t>Nota Sprint 1 (0–5)</t>
  </si>
  <si>
    <t>Si C7=0 → clínica prioritaria (bloqueo técnico de arranque)</t>
  </si>
  <si>
    <t>Nota Sprint 0 (0–5)</t>
  </si>
  <si>
    <t>Su Sprint se empieza a acumular, es decir, ya tiene trabajo represado porque cada nuevo Sprint no puede ser entregado si el anterior no se cumple</t>
  </si>
  <si>
    <t>Sprint 5 — Rúbrica de equipo (TG5) — Calidad, Accesibilidad, Estabilización y Despliegue</t>
  </si>
  <si>
    <t>Sprint 4 — Rúbrica de equipo (TG4) — T4 Registrar Tareas Ejecutadas y Barra de Progreso</t>
  </si>
  <si>
    <t>Evaluación heurística (Top 5 hallazgos) en flujos de eventos con severidad y evidencia</t>
  </si>
  <si>
    <t>Registrar tareas ejecutadas: hecho/pospuesto + nota opcional explicativa persistente</t>
  </si>
  <si>
    <t>No hay evaluación heurística documentada</t>
  </si>
  <si>
    <t>No permite registrar ejecución o no persiste el cambio en BD</t>
  </si>
  <si>
    <t>Informe heurístico incompleto, sin niveles de severidad de Nielsen o sin capturas de evidencia</t>
  </si>
  <si>
    <t>Parcial (permite marcar hecho pero no soporta posponer con nota explicativa o falla persistencia)</t>
  </si>
  <si>
    <t>Top 5 hallazgos en flujos de eventos (T1–T4) documentados con severidad (0–4), heurística violada, impacto en el organizador y priorización</t>
  </si>
  <si>
    <t>Completo y consistente: permite marcar subtarea logística como ejecutada ('Hecha') o posponerla con nota opcional (ej. 'esperando confirmación de salón'), persistiendo en BD y actualizando la interfaz</t>
  </si>
  <si>
    <t>Enlace al informe heurístico estructurado en Documento Único</t>
  </si>
  <si>
    <t>Capturas marcando ejecutada y pospuesta con nota + endpoint de cambio de estado</t>
  </si>
  <si>
    <t>≥3 mejoras de usabilidad aplicadas en la aplicación de eventos con before/after verificable</t>
  </si>
  <si>
    <t>Barra de progreso de preparación del evento: cálculo consistente (% o conteo de gestiones)</t>
  </si>
  <si>
    <t>No se aplicaron mejoras tras la evaluación</t>
  </si>
  <si>
    <t>1–2 mejoras o sin capturas comparativas before/after</t>
  </si>
  <si>
    <t>≥3 mejoras sustanciales de UX aplicadas en los flujos del evento (conflictos, progreso, formulario) con justificación y before/after verificable</t>
  </si>
  <si>
    <t>No existe barra de progreso del evento</t>
  </si>
  <si>
    <t>Capturas/GIFs comparativos (antes vs después) + enlaces a PRs</t>
  </si>
  <si>
    <t>Inconsistente (cálculo erróneo de avance o no se actualiza al cambiar estados de tareas)</t>
  </si>
  <si>
    <t>Consistente y verificable: barra de progreso visible en evento y en /progreso con cálculo exacto de porcentaje (% gestiones ejecutadas sobre total) y conteo, actualizándose en tiempo real</t>
  </si>
  <si>
    <t>Accesibilidad mínima evidenciada (teclado/foco/labels/errores/contraste WCAG AA)</t>
  </si>
  <si>
    <t>Captura de la barra de progreso con ejemplo de avance comprobado</t>
  </si>
  <si>
    <t>No evidenciada o barreras críticas en los formularios de eventos y vista /hoy</t>
  </si>
  <si>
    <t>Parcial o sin checklist estructurado de verificación</t>
  </si>
  <si>
    <t>Cumplida y evidenciada en pantallas núcleo (/crear, /hoy, /evento/:id, /progreso): navegación por teclado completa, foco visible, labels asociados, contraste adecuado y mensajes de error accesibles</t>
  </si>
  <si>
    <t>Checklist de accesibilidad diligenciado + capturas/GIFs de navegación por teclado y contraste</t>
  </si>
  <si>
    <t>Consistencia con /hoy: gestiones ejecutadas/pospuestas actualizan prioridad y visibilidad</t>
  </si>
  <si>
    <t>Estabilidad: flujos T1–T4 completos y fluidos sin fallos críticos en la organización de eventos</t>
  </si>
  <si>
    <t>Inconsistente (las tareas hechas continúan como urgentes o desincronizadas en /hoy)</t>
  </si>
  <si>
    <t>Falla crítica en flujos núcleo (creación, hoy, reprogramación o progreso)</t>
  </si>
  <si>
    <t>Fallas menores o recargas obligadas durante la navegación</t>
  </si>
  <si>
    <t>Parcial (se ocultan pero no actualizan las horas del día ni la agrupación de prioridades)</t>
  </si>
  <si>
    <t>Estable end-to-end: todos los flujos T1 a T4 operan sin errores de consola, bloqueos ni desincronización de datos</t>
  </si>
  <si>
    <t>Video demo continuo o secuencia completa de capturas probando T1 a T4</t>
  </si>
  <si>
    <t>Consistente: al ejecutar o posponer una gestión, la vista /hoy se actualiza dinámicamente reflejando la reducción de carga urgente del día y el estado real</t>
  </si>
  <si>
    <t>Capturas de /hoy antes y después de marcar una gestión ejecutada</t>
  </si>
  <si>
    <t>Despliegue en producción + README reproducible (Frontend y API con URLs accesibles)</t>
  </si>
  <si>
    <t>Microcopy/estados: mensajes claros y orientados a la organización de eventos (éxito, vacío, confirmación)</t>
  </si>
  <si>
    <t>No hay URLs públicas accesibles o la aplicación no carga</t>
  </si>
  <si>
    <t>Parcial (solo front o solo API desplegada, o README sin datos de prueba)</t>
  </si>
  <si>
    <t>Ausentes o mensajes crípticos/genéricos</t>
  </si>
  <si>
    <t>Front en Vercel y API en Render/Railway 100% operativos + README con pasos de prueba y cuenta demo para evaluación docente</t>
  </si>
  <si>
    <t>Mejorables en tono o claridad en confirmaciones y posposiciones</t>
  </si>
  <si>
    <t>URLs públicas en producción + README con instrucciones reproducibles</t>
  </si>
  <si>
    <t>Claros, breves y orientados a la acción: confirmación de tareas logísticas completadas, notas visibles y estados sin jerga técnica</t>
  </si>
  <si>
    <t>Capturas de microcopy en notificaciones, notas y estados</t>
  </si>
  <si>
    <t>Evidencia final completa (endpoints/decisiones/bitácora/tablero/PRs consolidados)</t>
  </si>
  <si>
    <t>API documentada (estado de gestiones y cálculo de progreso) + manejo estándar de errores</t>
  </si>
  <si>
    <t>Falta evidencia o repositorio incompleto</t>
  </si>
  <si>
    <t>Parcial o desorganizada entre carpetas</t>
  </si>
  <si>
    <t>Completa, ordenada y verificable en el Documento Único final con trazabilidad de los 6 sprints</t>
  </si>
  <si>
    <t>Enlace compartido al Documento Único final consolidado</t>
  </si>
  <si>
    <t>Parcial o sin ejemplos de payloads de cambio de estado y progreso</t>
  </si>
  <si>
    <t>Completa con ejemplos: endpoints de actualización de estado y consulta de progreso por evento documentados con códigos de error estándar</t>
  </si>
  <si>
    <t>Tabla de endpoints y ejemplos de request/response en Documento Único</t>
  </si>
  <si>
    <t>Total TG5 (puntos)</t>
  </si>
  <si>
    <t>Evidencia UX/HCI (prueba de usabilidad de progreso) + bitácora + tablero actualizado</t>
  </si>
  <si>
    <t>Parcial o sin evidencia verificable</t>
  </si>
  <si>
    <t>Completa y verificable: decisiones de visualización de avance logístico + bitácora de iteración + tablero al día</t>
  </si>
  <si>
    <t>Links a decisiones, bitácora y tablero en Documento Único</t>
  </si>
  <si>
    <t>Total TG4 (puntos)</t>
  </si>
  <si>
    <t>G5: URLs accesibles (Front + API) + README reproducible con usuario demo para evaluación docente</t>
  </si>
  <si>
    <t>Nota Sprint 5 (0–5)</t>
  </si>
  <si>
    <t>G4: Registrar tareas ejecutadas actualiza la barra de progreso del evento y la vista /hoy de forma consistente</t>
  </si>
  <si>
    <t>Nota Sprint 4 (0–5)</t>
  </si>
  <si>
    <t>Ha perdido su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</si>
</sst>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1F4E79"/>
      <name val="Calibri"/>
    </font>
    <font/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Font="1"/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29"/>
    <col customWidth="1" min="2" max="2" width="46.0"/>
    <col customWidth="1" min="3" max="3" width="10.71"/>
    <col customWidth="1" min="4" max="4" width="22.14"/>
    <col customWidth="1" min="5" max="5" width="30.86"/>
    <col customWidth="1" min="6" max="6" width="28.29"/>
    <col customWidth="1" min="7" max="7" width="21.71"/>
    <col customWidth="1" min="8" max="8" width="33.0"/>
  </cols>
  <sheetData>
    <row r="1">
      <c r="A1" s="5" t="s">
        <v>3</v>
      </c>
      <c r="B1" s="3"/>
      <c r="C1" s="3"/>
      <c r="D1" s="3"/>
      <c r="E1" s="3"/>
      <c r="F1" s="3"/>
      <c r="G1" s="3"/>
      <c r="H1" s="4"/>
    </row>
    <row r="3">
      <c r="A3" s="6" t="s">
        <v>4</v>
      </c>
      <c r="B3" s="8" t="s">
        <v>5</v>
      </c>
      <c r="C3" s="6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</row>
    <row r="4">
      <c r="A4" s="7" t="s">
        <v>12</v>
      </c>
      <c r="B4" s="9" t="s">
        <v>17</v>
      </c>
      <c r="C4" s="7"/>
      <c r="D4" s="9" t="s">
        <v>27</v>
      </c>
      <c r="E4" s="9" t="s">
        <v>30</v>
      </c>
      <c r="F4" s="9" t="s">
        <v>31</v>
      </c>
      <c r="G4" s="9" t="s">
        <v>32</v>
      </c>
      <c r="H4" s="11"/>
    </row>
    <row r="5">
      <c r="A5" s="7" t="s">
        <v>33</v>
      </c>
      <c r="B5" s="9" t="s">
        <v>41</v>
      </c>
      <c r="C5" s="7"/>
      <c r="D5" s="9" t="s">
        <v>49</v>
      </c>
      <c r="E5" s="9" t="s">
        <v>53</v>
      </c>
      <c r="F5" s="9" t="s">
        <v>55</v>
      </c>
      <c r="G5" s="9" t="s">
        <v>58</v>
      </c>
      <c r="H5" s="11"/>
    </row>
    <row r="6">
      <c r="A6" s="7" t="s">
        <v>46</v>
      </c>
      <c r="B6" s="9" t="s">
        <v>68</v>
      </c>
      <c r="C6" s="7"/>
      <c r="D6" s="9" t="s">
        <v>74</v>
      </c>
      <c r="E6" s="9" t="s">
        <v>76</v>
      </c>
      <c r="F6" s="9" t="s">
        <v>77</v>
      </c>
      <c r="G6" s="9" t="s">
        <v>79</v>
      </c>
      <c r="H6" s="11"/>
    </row>
    <row r="7">
      <c r="A7" s="7" t="s">
        <v>64</v>
      </c>
      <c r="B7" s="9" t="s">
        <v>86</v>
      </c>
      <c r="C7" s="7"/>
      <c r="D7" s="9" t="s">
        <v>92</v>
      </c>
      <c r="E7" s="9" t="s">
        <v>95</v>
      </c>
      <c r="F7" s="9" t="s">
        <v>108</v>
      </c>
      <c r="G7" s="9" t="s">
        <v>113</v>
      </c>
      <c r="H7" s="11"/>
    </row>
    <row r="8">
      <c r="A8" s="7" t="s">
        <v>84</v>
      </c>
      <c r="B8" s="9" t="s">
        <v>124</v>
      </c>
      <c r="C8" s="7"/>
      <c r="D8" s="9" t="s">
        <v>128</v>
      </c>
      <c r="E8" s="9" t="s">
        <v>132</v>
      </c>
      <c r="F8" s="9" t="s">
        <v>133</v>
      </c>
      <c r="G8" s="9" t="s">
        <v>134</v>
      </c>
      <c r="H8" s="11"/>
    </row>
    <row r="9">
      <c r="A9" s="7" t="s">
        <v>101</v>
      </c>
      <c r="B9" s="9" t="s">
        <v>136</v>
      </c>
      <c r="C9" s="7"/>
      <c r="D9" s="9" t="s">
        <v>137</v>
      </c>
      <c r="E9" s="9" t="s">
        <v>138</v>
      </c>
      <c r="F9" s="9" t="s">
        <v>139</v>
      </c>
      <c r="G9" s="9" t="s">
        <v>140</v>
      </c>
      <c r="H9" s="11"/>
    </row>
    <row r="10">
      <c r="A10" s="7" t="s">
        <v>141</v>
      </c>
      <c r="B10" s="10" t="s">
        <v>142</v>
      </c>
      <c r="C10" s="7"/>
      <c r="D10" s="9" t="s">
        <v>143</v>
      </c>
      <c r="E10" s="9" t="s">
        <v>144</v>
      </c>
      <c r="F10" s="9" t="s">
        <v>145</v>
      </c>
      <c r="G10" s="9" t="s">
        <v>146</v>
      </c>
      <c r="H10" s="11"/>
    </row>
    <row r="12">
      <c r="B12" s="13" t="s">
        <v>147</v>
      </c>
      <c r="C12" s="14">
        <f>SUM(C4:C10)</f>
        <v>0</v>
      </c>
      <c r="E12" s="17" t="s">
        <v>148</v>
      </c>
      <c r="F12" s="18" t="s">
        <v>155</v>
      </c>
    </row>
    <row r="13">
      <c r="B13" s="13" t="s">
        <v>156</v>
      </c>
      <c r="C13" s="14">
        <f>ROUND((C12/14)*5,2)</f>
        <v>0</v>
      </c>
      <c r="E13" s="18" t="s">
        <v>157</v>
      </c>
    </row>
  </sheetData>
  <mergeCells count="3">
    <mergeCell ref="A1:H1"/>
    <mergeCell ref="F12:H12"/>
    <mergeCell ref="E13:H13"/>
  </mergeCells>
  <dataValidations>
    <dataValidation type="list" allowBlank="1" sqref="C4:C10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0"/>
    <col customWidth="1" min="2" max="2" width="46.0"/>
    <col customWidth="1" min="3" max="3" width="10.0"/>
    <col customWidth="1" min="4" max="4" width="22.86"/>
    <col customWidth="1" min="5" max="5" width="32.43"/>
    <col customWidth="1" min="6" max="6" width="24.86"/>
    <col customWidth="1" min="7" max="7" width="27.71"/>
    <col customWidth="1" min="8" max="8" width="32.0"/>
  </cols>
  <sheetData>
    <row r="1">
      <c r="A1" s="2" t="s">
        <v>0</v>
      </c>
      <c r="B1" s="3"/>
      <c r="C1" s="3"/>
      <c r="D1" s="3"/>
      <c r="E1" s="3"/>
      <c r="F1" s="3"/>
      <c r="G1" s="3"/>
      <c r="H1" s="4"/>
    </row>
    <row r="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</row>
    <row r="4">
      <c r="A4" s="7" t="s">
        <v>12</v>
      </c>
      <c r="B4" s="10" t="s">
        <v>13</v>
      </c>
      <c r="C4" s="7"/>
      <c r="D4" s="9" t="s">
        <v>18</v>
      </c>
      <c r="E4" s="9" t="s">
        <v>23</v>
      </c>
      <c r="F4" s="9" t="s">
        <v>26</v>
      </c>
      <c r="G4" s="9" t="s">
        <v>29</v>
      </c>
      <c r="H4" s="11"/>
    </row>
    <row r="5">
      <c r="A5" s="7" t="s">
        <v>33</v>
      </c>
      <c r="B5" s="9" t="s">
        <v>35</v>
      </c>
      <c r="C5" s="7"/>
      <c r="D5" s="9" t="s">
        <v>39</v>
      </c>
      <c r="E5" s="9" t="s">
        <v>44</v>
      </c>
      <c r="F5" s="9" t="s">
        <v>47</v>
      </c>
      <c r="G5" s="9" t="s">
        <v>51</v>
      </c>
      <c r="H5" s="11"/>
    </row>
    <row r="6">
      <c r="A6" s="7" t="s">
        <v>46</v>
      </c>
      <c r="B6" s="10" t="s">
        <v>56</v>
      </c>
      <c r="C6" s="7"/>
      <c r="D6" s="9" t="s">
        <v>57</v>
      </c>
      <c r="E6" s="9" t="s">
        <v>59</v>
      </c>
      <c r="F6" s="10" t="s">
        <v>61</v>
      </c>
      <c r="G6" s="9" t="s">
        <v>62</v>
      </c>
      <c r="H6" s="11"/>
    </row>
    <row r="7">
      <c r="A7" s="7" t="s">
        <v>64</v>
      </c>
      <c r="B7" s="9" t="s">
        <v>67</v>
      </c>
      <c r="C7" s="7"/>
      <c r="D7" s="9" t="s">
        <v>73</v>
      </c>
      <c r="E7" s="9" t="s">
        <v>75</v>
      </c>
      <c r="F7" s="9" t="s">
        <v>78</v>
      </c>
      <c r="G7" s="9" t="s">
        <v>81</v>
      </c>
      <c r="H7" s="11"/>
    </row>
    <row r="8">
      <c r="A8" s="7" t="s">
        <v>84</v>
      </c>
      <c r="B8" s="9" t="s">
        <v>87</v>
      </c>
      <c r="C8" s="7"/>
      <c r="D8" s="9" t="s">
        <v>93</v>
      </c>
      <c r="E8" s="9" t="s">
        <v>96</v>
      </c>
      <c r="F8" s="9" t="s">
        <v>97</v>
      </c>
      <c r="G8" s="9" t="s">
        <v>98</v>
      </c>
      <c r="H8" s="11"/>
    </row>
    <row r="9">
      <c r="A9" s="7" t="s">
        <v>101</v>
      </c>
      <c r="B9" s="10" t="s">
        <v>106</v>
      </c>
      <c r="C9" s="7"/>
      <c r="D9" s="9" t="s">
        <v>110</v>
      </c>
      <c r="E9" s="9" t="s">
        <v>114</v>
      </c>
      <c r="F9" s="9" t="s">
        <v>118</v>
      </c>
      <c r="G9" s="9" t="s">
        <v>120</v>
      </c>
      <c r="H9" s="11"/>
    </row>
    <row r="11">
      <c r="B11" s="12" t="s">
        <v>129</v>
      </c>
      <c r="C11" s="14">
        <f>SUM(C4:C9)</f>
        <v>0</v>
      </c>
      <c r="E11" s="15" t="s">
        <v>148</v>
      </c>
      <c r="F11" s="16" t="s">
        <v>150</v>
      </c>
    </row>
    <row r="12">
      <c r="B12" s="12" t="s">
        <v>154</v>
      </c>
      <c r="C12" s="14">
        <f>ROUND((C11/12)*5,2)</f>
        <v>0</v>
      </c>
      <c r="E12" s="16" t="s">
        <v>157</v>
      </c>
    </row>
  </sheetData>
  <mergeCells count="3">
    <mergeCell ref="A1:H1"/>
    <mergeCell ref="F11:H11"/>
    <mergeCell ref="E12:H12"/>
  </mergeCells>
  <dataValidations>
    <dataValidation type="list" allowBlank="1" sqref="C4:C9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71"/>
    <col customWidth="1" min="2" max="2" width="46.0"/>
    <col customWidth="1" min="3" max="3" width="10.0"/>
    <col customWidth="1" min="4" max="4" width="19.29"/>
    <col customWidth="1" min="5" max="5" width="26.71"/>
    <col customWidth="1" min="6" max="6" width="23.43"/>
    <col customWidth="1" min="7" max="7" width="32.43"/>
    <col customWidth="1" min="8" max="8" width="50.71"/>
  </cols>
  <sheetData>
    <row r="1">
      <c r="A1" s="2" t="s">
        <v>2</v>
      </c>
      <c r="B1" s="3"/>
      <c r="C1" s="3"/>
      <c r="D1" s="3"/>
      <c r="E1" s="3"/>
      <c r="F1" s="3"/>
      <c r="G1" s="3"/>
      <c r="H1" s="4"/>
    </row>
    <row r="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</row>
    <row r="4">
      <c r="A4" s="7" t="s">
        <v>12</v>
      </c>
      <c r="B4" s="9" t="s">
        <v>14</v>
      </c>
      <c r="C4" s="7"/>
      <c r="D4" s="9" t="s">
        <v>20</v>
      </c>
      <c r="E4" s="9" t="s">
        <v>22</v>
      </c>
      <c r="F4" s="9" t="s">
        <v>25</v>
      </c>
      <c r="G4" s="9" t="s">
        <v>28</v>
      </c>
      <c r="H4" s="11"/>
    </row>
    <row r="5">
      <c r="A5" s="7" t="s">
        <v>33</v>
      </c>
      <c r="B5" s="9" t="s">
        <v>36</v>
      </c>
      <c r="C5" s="7"/>
      <c r="D5" s="9" t="s">
        <v>43</v>
      </c>
      <c r="E5" s="9" t="s">
        <v>45</v>
      </c>
      <c r="F5" s="9" t="s">
        <v>50</v>
      </c>
      <c r="G5" s="9" t="s">
        <v>52</v>
      </c>
      <c r="H5" s="11"/>
    </row>
    <row r="6">
      <c r="A6" s="7" t="s">
        <v>46</v>
      </c>
      <c r="B6" s="9" t="s">
        <v>60</v>
      </c>
      <c r="C6" s="7"/>
      <c r="D6" s="9" t="s">
        <v>63</v>
      </c>
      <c r="E6" s="9" t="s">
        <v>65</v>
      </c>
      <c r="F6" s="9" t="s">
        <v>69</v>
      </c>
      <c r="G6" s="9" t="s">
        <v>71</v>
      </c>
      <c r="H6" s="11"/>
    </row>
    <row r="7">
      <c r="A7" s="7" t="s">
        <v>64</v>
      </c>
      <c r="B7" s="9" t="s">
        <v>80</v>
      </c>
      <c r="C7" s="7"/>
      <c r="D7" s="9" t="s">
        <v>83</v>
      </c>
      <c r="E7" s="9" t="s">
        <v>85</v>
      </c>
      <c r="F7" s="9" t="s">
        <v>89</v>
      </c>
      <c r="G7" s="9" t="s">
        <v>91</v>
      </c>
      <c r="H7" s="11"/>
    </row>
    <row r="8">
      <c r="A8" s="7" t="s">
        <v>84</v>
      </c>
      <c r="B8" s="9" t="s">
        <v>99</v>
      </c>
      <c r="C8" s="7"/>
      <c r="D8" s="9" t="s">
        <v>102</v>
      </c>
      <c r="E8" s="9" t="s">
        <v>103</v>
      </c>
      <c r="F8" s="9" t="s">
        <v>104</v>
      </c>
      <c r="G8" s="9" t="s">
        <v>107</v>
      </c>
      <c r="H8" s="11"/>
    </row>
    <row r="9">
      <c r="A9" s="7" t="s">
        <v>101</v>
      </c>
      <c r="B9" s="9" t="s">
        <v>111</v>
      </c>
      <c r="C9" s="7"/>
      <c r="D9" s="9" t="s">
        <v>116</v>
      </c>
      <c r="E9" s="9" t="s">
        <v>119</v>
      </c>
      <c r="F9" s="9" t="s">
        <v>121</v>
      </c>
      <c r="G9" s="9" t="s">
        <v>122</v>
      </c>
      <c r="H9" s="11"/>
    </row>
    <row r="11">
      <c r="B11" s="12" t="s">
        <v>131</v>
      </c>
      <c r="C11" s="14">
        <f>SUM(C4:C9)</f>
        <v>0</v>
      </c>
      <c r="E11" s="15" t="s">
        <v>148</v>
      </c>
      <c r="F11" s="16" t="s">
        <v>149</v>
      </c>
    </row>
    <row r="12">
      <c r="B12" s="12" t="s">
        <v>152</v>
      </c>
      <c r="C12" s="14">
        <f>ROUND((C11/12)*5,2)</f>
        <v>0</v>
      </c>
      <c r="E12" s="16" t="s">
        <v>157</v>
      </c>
    </row>
  </sheetData>
  <mergeCells count="3">
    <mergeCell ref="A1:H1"/>
    <mergeCell ref="F11:H11"/>
    <mergeCell ref="E12:H12"/>
  </mergeCells>
  <dataValidations>
    <dataValidation type="list" allowBlank="1" sqref="C4:C9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43"/>
    <col customWidth="1" min="2" max="2" width="42.0"/>
    <col customWidth="1" min="3" max="3" width="22.86"/>
    <col customWidth="1" min="4" max="5" width="26.86"/>
    <col customWidth="1" min="6" max="6" width="26.43"/>
    <col customWidth="1" min="7" max="7" width="23.14"/>
    <col customWidth="1" min="8" max="8" width="40.43"/>
  </cols>
  <sheetData>
    <row r="1">
      <c r="A1" s="1" t="s">
        <v>1</v>
      </c>
      <c r="B1" s="3"/>
      <c r="C1" s="3"/>
      <c r="D1" s="3"/>
      <c r="E1" s="3"/>
      <c r="F1" s="3"/>
      <c r="G1" s="3"/>
      <c r="H1" s="4"/>
    </row>
    <row r="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</row>
    <row r="4">
      <c r="A4" s="7" t="s">
        <v>12</v>
      </c>
      <c r="B4" s="9" t="s">
        <v>15</v>
      </c>
      <c r="C4" s="7"/>
      <c r="D4" s="9" t="s">
        <v>16</v>
      </c>
      <c r="E4" s="9" t="s">
        <v>19</v>
      </c>
      <c r="F4" s="9" t="s">
        <v>21</v>
      </c>
      <c r="G4" s="9" t="s">
        <v>24</v>
      </c>
      <c r="H4" s="11"/>
    </row>
    <row r="5">
      <c r="A5" s="7" t="s">
        <v>33</v>
      </c>
      <c r="B5" s="9" t="s">
        <v>34</v>
      </c>
      <c r="C5" s="7"/>
      <c r="D5" s="9" t="s">
        <v>37</v>
      </c>
      <c r="E5" s="9" t="s">
        <v>38</v>
      </c>
      <c r="F5" s="9" t="s">
        <v>40</v>
      </c>
      <c r="G5" s="9" t="s">
        <v>42</v>
      </c>
      <c r="H5" s="11"/>
    </row>
    <row r="6">
      <c r="A6" s="7" t="s">
        <v>46</v>
      </c>
      <c r="B6" s="9" t="s">
        <v>48</v>
      </c>
      <c r="C6" s="7"/>
      <c r="D6" s="9" t="s">
        <v>54</v>
      </c>
      <c r="E6" s="9" t="s">
        <v>66</v>
      </c>
      <c r="F6" s="9" t="s">
        <v>70</v>
      </c>
      <c r="G6" s="9" t="s">
        <v>72</v>
      </c>
      <c r="H6" s="11"/>
    </row>
    <row r="7">
      <c r="A7" s="7" t="s">
        <v>64</v>
      </c>
      <c r="B7" s="9" t="s">
        <v>82</v>
      </c>
      <c r="C7" s="7"/>
      <c r="D7" s="9" t="s">
        <v>88</v>
      </c>
      <c r="E7" s="9" t="s">
        <v>90</v>
      </c>
      <c r="F7" s="9" t="s">
        <v>94</v>
      </c>
      <c r="G7" s="9" t="s">
        <v>100</v>
      </c>
      <c r="H7" s="11"/>
    </row>
    <row r="8">
      <c r="A8" s="7" t="s">
        <v>84</v>
      </c>
      <c r="B8" s="9" t="s">
        <v>105</v>
      </c>
      <c r="C8" s="7"/>
      <c r="D8" s="9" t="s">
        <v>109</v>
      </c>
      <c r="E8" s="9" t="s">
        <v>112</v>
      </c>
      <c r="F8" s="9" t="s">
        <v>115</v>
      </c>
      <c r="G8" s="9" t="s">
        <v>117</v>
      </c>
      <c r="H8" s="11"/>
    </row>
    <row r="9">
      <c r="A9" s="7" t="s">
        <v>101</v>
      </c>
      <c r="B9" s="9" t="s">
        <v>123</v>
      </c>
      <c r="C9" s="7"/>
      <c r="D9" s="9" t="s">
        <v>125</v>
      </c>
      <c r="E9" s="9" t="s">
        <v>126</v>
      </c>
      <c r="F9" s="9" t="s">
        <v>127</v>
      </c>
      <c r="G9" s="9" t="s">
        <v>130</v>
      </c>
      <c r="H9" s="11"/>
    </row>
    <row r="11">
      <c r="B11" s="12" t="s">
        <v>135</v>
      </c>
      <c r="C11" s="14">
        <f>SUM(C4:C9)</f>
        <v>0</v>
      </c>
      <c r="E11" s="15" t="s">
        <v>148</v>
      </c>
      <c r="F11" s="16" t="s">
        <v>151</v>
      </c>
    </row>
    <row r="12">
      <c r="B12" s="12" t="s">
        <v>153</v>
      </c>
      <c r="C12" s="14">
        <f>ROUND((C11/12)*5,2)</f>
        <v>0</v>
      </c>
      <c r="E12" s="16" t="s">
        <v>157</v>
      </c>
    </row>
  </sheetData>
  <mergeCells count="3">
    <mergeCell ref="A1:H1"/>
    <mergeCell ref="F11:H11"/>
    <mergeCell ref="E12:H12"/>
  </mergeCells>
  <dataValidations>
    <dataValidation type="list" allowBlank="1" sqref="C4:C9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43"/>
    <col customWidth="1" min="2" max="2" width="46.0"/>
    <col customWidth="1" min="3" max="3" width="16.71"/>
    <col customWidth="1" min="4" max="4" width="20.57"/>
    <col customWidth="1" min="5" max="5" width="19.71"/>
    <col customWidth="1" min="6" max="6" width="27.0"/>
    <col customWidth="1" min="7" max="7" width="31.71"/>
    <col customWidth="1" min="8" max="8" width="42.0"/>
  </cols>
  <sheetData>
    <row r="1">
      <c r="A1" s="2" t="s">
        <v>159</v>
      </c>
      <c r="B1" s="3"/>
      <c r="C1" s="3"/>
      <c r="D1" s="3"/>
      <c r="E1" s="3"/>
      <c r="F1" s="3"/>
      <c r="G1" s="3"/>
      <c r="H1" s="4"/>
    </row>
    <row r="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</row>
    <row r="4">
      <c r="A4" s="7" t="s">
        <v>12</v>
      </c>
      <c r="B4" s="9" t="s">
        <v>161</v>
      </c>
      <c r="C4" s="7"/>
      <c r="D4" s="9" t="s">
        <v>163</v>
      </c>
      <c r="E4" s="9" t="s">
        <v>165</v>
      </c>
      <c r="F4" s="9" t="s">
        <v>167</v>
      </c>
      <c r="G4" s="9" t="s">
        <v>169</v>
      </c>
      <c r="H4" s="11"/>
    </row>
    <row r="5">
      <c r="A5" s="7" t="s">
        <v>33</v>
      </c>
      <c r="B5" s="9" t="s">
        <v>171</v>
      </c>
      <c r="C5" s="7"/>
      <c r="D5" s="9" t="s">
        <v>175</v>
      </c>
      <c r="E5" s="9" t="s">
        <v>177</v>
      </c>
      <c r="F5" s="9" t="s">
        <v>178</v>
      </c>
      <c r="G5" s="9" t="s">
        <v>180</v>
      </c>
      <c r="H5" s="11"/>
    </row>
    <row r="6">
      <c r="A6" s="7" t="s">
        <v>46</v>
      </c>
      <c r="B6" s="9" t="s">
        <v>185</v>
      </c>
      <c r="C6" s="7"/>
      <c r="D6" s="9" t="s">
        <v>187</v>
      </c>
      <c r="E6" s="9" t="s">
        <v>190</v>
      </c>
      <c r="F6" s="9" t="s">
        <v>193</v>
      </c>
      <c r="G6" s="9" t="s">
        <v>194</v>
      </c>
      <c r="H6" s="11"/>
    </row>
    <row r="7">
      <c r="A7" s="7" t="s">
        <v>64</v>
      </c>
      <c r="B7" s="9" t="s">
        <v>196</v>
      </c>
      <c r="C7" s="7"/>
      <c r="D7" s="9" t="s">
        <v>199</v>
      </c>
      <c r="E7" s="9" t="s">
        <v>201</v>
      </c>
      <c r="F7" s="9" t="s">
        <v>203</v>
      </c>
      <c r="G7" s="9" t="s">
        <v>204</v>
      </c>
      <c r="H7" s="11"/>
    </row>
    <row r="8">
      <c r="A8" s="7" t="s">
        <v>84</v>
      </c>
      <c r="B8" s="9" t="s">
        <v>206</v>
      </c>
      <c r="C8" s="7"/>
      <c r="D8" s="9" t="s">
        <v>57</v>
      </c>
      <c r="E8" s="9" t="s">
        <v>211</v>
      </c>
      <c r="F8" s="9" t="s">
        <v>212</v>
      </c>
      <c r="G8" s="9" t="s">
        <v>213</v>
      </c>
      <c r="H8" s="11"/>
    </row>
    <row r="9">
      <c r="A9" s="7" t="s">
        <v>101</v>
      </c>
      <c r="B9" s="9" t="s">
        <v>215</v>
      </c>
      <c r="C9" s="7"/>
      <c r="D9" s="9" t="s">
        <v>116</v>
      </c>
      <c r="E9" s="9" t="s">
        <v>216</v>
      </c>
      <c r="F9" s="9" t="s">
        <v>217</v>
      </c>
      <c r="G9" s="9" t="s">
        <v>218</v>
      </c>
      <c r="H9" s="11"/>
    </row>
    <row r="11">
      <c r="B11" s="12" t="s">
        <v>219</v>
      </c>
      <c r="C11" s="14">
        <f>SUM(C4:C9)</f>
        <v>0</v>
      </c>
      <c r="E11" s="15" t="s">
        <v>148</v>
      </c>
      <c r="F11" s="16" t="s">
        <v>222</v>
      </c>
    </row>
    <row r="12">
      <c r="B12" s="12" t="s">
        <v>223</v>
      </c>
      <c r="C12" s="14">
        <f>ROUND((C11/12)*5,2)</f>
        <v>0</v>
      </c>
      <c r="E12" s="16" t="s">
        <v>157</v>
      </c>
    </row>
  </sheetData>
  <mergeCells count="3">
    <mergeCell ref="A1:H1"/>
    <mergeCell ref="F11:H11"/>
    <mergeCell ref="E12:H12"/>
  </mergeCells>
  <dataValidations>
    <dataValidation type="list" allowBlank="1" sqref="C4:C9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43.43"/>
    <col customWidth="1" min="3" max="3" width="19.29"/>
    <col customWidth="1" min="4" max="4" width="22.71"/>
    <col customWidth="1" min="5" max="5" width="28.71"/>
    <col customWidth="1" min="6" max="6" width="29.0"/>
    <col customWidth="1" min="7" max="7" width="27.29"/>
    <col customWidth="1" min="8" max="8" width="40.29"/>
  </cols>
  <sheetData>
    <row r="1">
      <c r="A1" s="2" t="s">
        <v>158</v>
      </c>
      <c r="B1" s="3"/>
      <c r="C1" s="3"/>
      <c r="D1" s="3"/>
      <c r="E1" s="3"/>
      <c r="F1" s="3"/>
      <c r="G1" s="3"/>
      <c r="H1" s="4"/>
    </row>
    <row r="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</row>
    <row r="4">
      <c r="A4" s="7" t="s">
        <v>12</v>
      </c>
      <c r="B4" s="9" t="s">
        <v>160</v>
      </c>
      <c r="C4" s="7"/>
      <c r="D4" s="9" t="s">
        <v>162</v>
      </c>
      <c r="E4" s="9" t="s">
        <v>164</v>
      </c>
      <c r="F4" s="9" t="s">
        <v>166</v>
      </c>
      <c r="G4" s="9" t="s">
        <v>168</v>
      </c>
      <c r="H4" s="11"/>
    </row>
    <row r="5">
      <c r="A5" s="7" t="s">
        <v>33</v>
      </c>
      <c r="B5" s="9" t="s">
        <v>170</v>
      </c>
      <c r="C5" s="7"/>
      <c r="D5" s="9" t="s">
        <v>172</v>
      </c>
      <c r="E5" s="9" t="s">
        <v>173</v>
      </c>
      <c r="F5" s="9" t="s">
        <v>174</v>
      </c>
      <c r="G5" s="9" t="s">
        <v>176</v>
      </c>
      <c r="H5" s="11"/>
    </row>
    <row r="6">
      <c r="A6" s="7" t="s">
        <v>46</v>
      </c>
      <c r="B6" s="9" t="s">
        <v>179</v>
      </c>
      <c r="C6" s="7"/>
      <c r="D6" s="9" t="s">
        <v>181</v>
      </c>
      <c r="E6" s="9" t="s">
        <v>182</v>
      </c>
      <c r="F6" s="9" t="s">
        <v>183</v>
      </c>
      <c r="G6" s="9" t="s">
        <v>184</v>
      </c>
      <c r="H6" s="11"/>
    </row>
    <row r="7">
      <c r="A7" s="7" t="s">
        <v>64</v>
      </c>
      <c r="B7" s="9" t="s">
        <v>186</v>
      </c>
      <c r="C7" s="7"/>
      <c r="D7" s="9" t="s">
        <v>188</v>
      </c>
      <c r="E7" s="9" t="s">
        <v>189</v>
      </c>
      <c r="F7" s="9" t="s">
        <v>191</v>
      </c>
      <c r="G7" s="9" t="s">
        <v>192</v>
      </c>
      <c r="H7" s="11"/>
    </row>
    <row r="8">
      <c r="A8" s="7" t="s">
        <v>84</v>
      </c>
      <c r="B8" s="9" t="s">
        <v>195</v>
      </c>
      <c r="C8" s="7"/>
      <c r="D8" s="9" t="s">
        <v>197</v>
      </c>
      <c r="E8" s="9" t="s">
        <v>198</v>
      </c>
      <c r="F8" s="9" t="s">
        <v>200</v>
      </c>
      <c r="G8" s="9" t="s">
        <v>202</v>
      </c>
      <c r="H8" s="11"/>
    </row>
    <row r="9">
      <c r="A9" s="7" t="s">
        <v>101</v>
      </c>
      <c r="B9" s="9" t="s">
        <v>205</v>
      </c>
      <c r="C9" s="7"/>
      <c r="D9" s="9" t="s">
        <v>207</v>
      </c>
      <c r="E9" s="9" t="s">
        <v>208</v>
      </c>
      <c r="F9" s="9" t="s">
        <v>209</v>
      </c>
      <c r="G9" s="9" t="s">
        <v>210</v>
      </c>
      <c r="H9" s="11"/>
    </row>
    <row r="11">
      <c r="B11" s="12" t="s">
        <v>214</v>
      </c>
      <c r="C11" s="14">
        <f>SUM(C4:C9)</f>
        <v>0</v>
      </c>
      <c r="E11" s="15" t="s">
        <v>148</v>
      </c>
      <c r="F11" s="16" t="s">
        <v>220</v>
      </c>
    </row>
    <row r="12">
      <c r="B12" s="12" t="s">
        <v>221</v>
      </c>
      <c r="C12" s="14">
        <f>ROUND((C11/12)*5,2)</f>
        <v>0</v>
      </c>
      <c r="E12" s="16" t="s">
        <v>224</v>
      </c>
    </row>
  </sheetData>
  <mergeCells count="3">
    <mergeCell ref="A1:H1"/>
    <mergeCell ref="F11:H11"/>
    <mergeCell ref="E12:H12"/>
  </mergeCells>
  <dataValidations>
    <dataValidation type="list" allowBlank="1" sqref="C4:C9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2026-02-13T23:05:49Z</dcterms:created>
  <dc:creator>openpyxl</dc:creator>
</cp:coreProperties>
</file>